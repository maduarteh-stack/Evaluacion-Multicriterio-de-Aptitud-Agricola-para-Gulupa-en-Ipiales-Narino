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ownloads\Proyecto GEO_Frutales\"/>
    </mc:Choice>
  </mc:AlternateContent>
  <xr:revisionPtr revIDLastSave="0" documentId="13_ncr:1_{49315932-DA27-4268-B758-87E30992C482}" xr6:coauthVersionLast="47" xr6:coauthVersionMax="47" xr10:uidLastSave="{00000000-0000-0000-0000-000000000000}"/>
  <bookViews>
    <workbookView xWindow="-108" yWindow="-108" windowWidth="23256" windowHeight="12576" xr2:uid="{EF4215F2-8430-476D-B736-9C7564173A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1" l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20" i="1"/>
  <c r="R26" i="1"/>
  <c r="R23" i="1"/>
  <c r="S20" i="1"/>
  <c r="R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0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7" i="1"/>
  <c r="C12" i="1"/>
  <c r="C13" i="1"/>
  <c r="C14" i="1"/>
  <c r="C15" i="1"/>
  <c r="D15" i="1"/>
  <c r="D14" i="1"/>
  <c r="D13" i="1"/>
  <c r="D12" i="1"/>
  <c r="D11" i="1"/>
  <c r="C11" i="1"/>
  <c r="E15" i="1"/>
  <c r="E14" i="1"/>
  <c r="E13" i="1"/>
  <c r="E12" i="1"/>
  <c r="E11" i="1"/>
  <c r="F13" i="1"/>
  <c r="F12" i="1"/>
  <c r="F11" i="1"/>
  <c r="E10" i="1"/>
  <c r="D10" i="1"/>
  <c r="C10" i="1"/>
  <c r="E9" i="1"/>
  <c r="D9" i="1"/>
  <c r="C9" i="1"/>
  <c r="F10" i="1"/>
  <c r="F9" i="1"/>
  <c r="E8" i="1"/>
  <c r="D8" i="1"/>
  <c r="C8" i="1"/>
  <c r="C7" i="1"/>
  <c r="F15" i="1"/>
  <c r="G14" i="1"/>
  <c r="F14" i="1"/>
  <c r="G13" i="1"/>
  <c r="G12" i="1"/>
  <c r="G11" i="1"/>
  <c r="G10" i="1"/>
  <c r="G15" i="1"/>
  <c r="H14" i="1"/>
  <c r="H15" i="1"/>
  <c r="H13" i="1"/>
  <c r="H12" i="1"/>
  <c r="H11" i="1"/>
  <c r="H10" i="1"/>
  <c r="G9" i="1"/>
  <c r="F8" i="1"/>
  <c r="E7" i="1"/>
  <c r="D7" i="1"/>
  <c r="D6" i="1"/>
  <c r="C6" i="1"/>
  <c r="H16" i="1"/>
  <c r="G16" i="1"/>
  <c r="F16" i="1"/>
  <c r="E16" i="1"/>
  <c r="D16" i="1"/>
  <c r="C16" i="1"/>
  <c r="B16" i="1"/>
  <c r="B15" i="1"/>
  <c r="B14" i="1"/>
  <c r="B13" i="1"/>
  <c r="B12" i="1"/>
  <c r="B11" i="1"/>
  <c r="B10" i="1"/>
  <c r="B9" i="1"/>
  <c r="B8" i="1"/>
  <c r="B7" i="1"/>
  <c r="B6" i="1"/>
  <c r="B5" i="1"/>
  <c r="I13" i="1"/>
  <c r="I12" i="1"/>
  <c r="I14" i="1"/>
  <c r="I11" i="1"/>
  <c r="I15" i="1"/>
  <c r="J12" i="1"/>
  <c r="J13" i="1"/>
  <c r="J14" i="1"/>
  <c r="J15" i="1"/>
  <c r="I16" i="1"/>
  <c r="J16" i="1"/>
  <c r="K16" i="1"/>
  <c r="K15" i="1"/>
  <c r="K14" i="1"/>
  <c r="K13" i="1"/>
  <c r="L14" i="1"/>
  <c r="L15" i="1"/>
  <c r="L16" i="1"/>
  <c r="M16" i="1"/>
  <c r="M15" i="1"/>
  <c r="N16" i="1"/>
  <c r="O16" i="1"/>
  <c r="N15" i="1"/>
  <c r="M14" i="1"/>
  <c r="L13" i="1"/>
  <c r="K12" i="1"/>
  <c r="J11" i="1"/>
  <c r="I10" i="1"/>
  <c r="H9" i="1"/>
  <c r="G8" i="1"/>
  <c r="F7" i="1"/>
  <c r="E6" i="1"/>
  <c r="D5" i="1"/>
  <c r="C5" i="1"/>
  <c r="C4" i="1"/>
  <c r="B4" i="1"/>
  <c r="B3" i="1"/>
</calcChain>
</file>

<file path=xl/sharedStrings.xml><?xml version="1.0" encoding="utf-8"?>
<sst xmlns="http://schemas.openxmlformats.org/spreadsheetml/2006/main" count="66" uniqueCount="24">
  <si>
    <t>T. Prom</t>
  </si>
  <si>
    <t>Heladas</t>
  </si>
  <si>
    <t>Altitud</t>
  </si>
  <si>
    <t>Uso actual</t>
  </si>
  <si>
    <t>Precipitacion</t>
  </si>
  <si>
    <t>Humedad R</t>
  </si>
  <si>
    <t>Profundidad</t>
  </si>
  <si>
    <t>Textura</t>
  </si>
  <si>
    <t>Fertilidad</t>
  </si>
  <si>
    <t>Horas sol</t>
  </si>
  <si>
    <t>Acidez</t>
  </si>
  <si>
    <t>Geomorfologia</t>
  </si>
  <si>
    <t>Vientos</t>
  </si>
  <si>
    <t xml:space="preserve">Paisaje </t>
  </si>
  <si>
    <t>Eto</t>
  </si>
  <si>
    <t xml:space="preserve">Precipitacion </t>
  </si>
  <si>
    <t xml:space="preserve">Fertilidad </t>
  </si>
  <si>
    <t>Paisaje</t>
  </si>
  <si>
    <t>PESOS</t>
  </si>
  <si>
    <t>Consistencia</t>
  </si>
  <si>
    <t>Maximo Valor Propio</t>
  </si>
  <si>
    <t>CI</t>
  </si>
  <si>
    <t>CR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</si>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</sst>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8" xfId="0" applyBorder="1"/>
    <xf numFmtId="0" fontId="0" fillId="2" borderId="4" xfId="0" applyFill="1" applyBorder="1"/>
    <xf numFmtId="0" fontId="0" fillId="2" borderId="2" xfId="0" applyFill="1" applyBorder="1"/>
    <xf numFmtId="0" fontId="0" fillId="3" borderId="4" xfId="0" applyFill="1" applyBorder="1"/>
    <xf numFmtId="0" fontId="0" fillId="3" borderId="2" xfId="0" applyFill="1" applyBorder="1"/>
    <xf numFmtId="0" fontId="0" fillId="4" borderId="0" xfId="0" applyFill="1"/>
    <xf numFmtId="0" fontId="0" fillId="5" borderId="4" xfId="0" applyFill="1" applyBorder="1"/>
    <xf numFmtId="0" fontId="0" fillId="5" borderId="2" xfId="0" applyFill="1" applyBorder="1"/>
    <xf numFmtId="0" fontId="0" fillId="6" borderId="4" xfId="0" applyFill="1" applyBorder="1"/>
    <xf numFmtId="0" fontId="0" fillId="6" borderId="2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4" xfId="0" applyFill="1" applyBorder="1"/>
    <xf numFmtId="0" fontId="0" fillId="10" borderId="2" xfId="0" applyFill="1" applyBorder="1"/>
    <xf numFmtId="0" fontId="0" fillId="11" borderId="0" xfId="0" applyFill="1"/>
    <xf numFmtId="0" fontId="0" fillId="12" borderId="0" xfId="0" applyFill="1"/>
    <xf numFmtId="0" fontId="0" fillId="13" borderId="2" xfId="0" applyFill="1" applyBorder="1"/>
    <xf numFmtId="0" fontId="0" fillId="13" borderId="4" xfId="0" applyFill="1" applyBorder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" borderId="0" xfId="0" applyFill="1"/>
    <xf numFmtId="0" fontId="0" fillId="19" borderId="4" xfId="0" applyFill="1" applyBorder="1"/>
    <xf numFmtId="0" fontId="0" fillId="19" borderId="2" xfId="0" applyFill="1" applyBorder="1"/>
    <xf numFmtId="0" fontId="0" fillId="20" borderId="0" xfId="0" applyFill="1"/>
    <xf numFmtId="0" fontId="0" fillId="21" borderId="0" xfId="0" applyFill="1"/>
    <xf numFmtId="0" fontId="0" fillId="22" borderId="4" xfId="0" applyFill="1" applyBorder="1"/>
    <xf numFmtId="0" fontId="0" fillId="22" borderId="2" xfId="0" applyFill="1" applyBorder="1"/>
    <xf numFmtId="0" fontId="0" fillId="23" borderId="4" xfId="0" applyFill="1" applyBorder="1"/>
    <xf numFmtId="0" fontId="0" fillId="23" borderId="2" xfId="0" applyFill="1" applyBorder="1"/>
    <xf numFmtId="0" fontId="0" fillId="16" borderId="4" xfId="0" applyFill="1" applyBorder="1"/>
    <xf numFmtId="0" fontId="0" fillId="16" borderId="2" xfId="0" applyFill="1" applyBorder="1"/>
    <xf numFmtId="0" fontId="0" fillId="24" borderId="4" xfId="0" applyFill="1" applyBorder="1"/>
    <xf numFmtId="0" fontId="0" fillId="24" borderId="2" xfId="0" applyFill="1" applyBorder="1"/>
    <xf numFmtId="0" fontId="0" fillId="5" borderId="0" xfId="0" applyFill="1"/>
    <xf numFmtId="0" fontId="0" fillId="22" borderId="0" xfId="0" applyFill="1"/>
    <xf numFmtId="0" fontId="0" fillId="25" borderId="0" xfId="0" applyFill="1"/>
    <xf numFmtId="0" fontId="0" fillId="18" borderId="7" xfId="0" applyFill="1" applyBorder="1"/>
    <xf numFmtId="0" fontId="0" fillId="18" borderId="5" xfId="0" applyFill="1" applyBorder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13" borderId="0" xfId="0" applyFill="1"/>
    <xf numFmtId="0" fontId="0" fillId="11" borderId="7" xfId="0" applyFill="1" applyBorder="1"/>
    <xf numFmtId="0" fontId="0" fillId="11" borderId="5" xfId="0" applyFill="1" applyBorder="1"/>
    <xf numFmtId="0" fontId="1" fillId="30" borderId="7" xfId="0" applyFont="1" applyFill="1" applyBorder="1"/>
    <xf numFmtId="0" fontId="1" fillId="30" borderId="5" xfId="0" applyFont="1" applyFill="1" applyBorder="1"/>
    <xf numFmtId="0" fontId="0" fillId="2" borderId="7" xfId="0" applyFill="1" applyBorder="1"/>
    <xf numFmtId="0" fontId="0" fillId="2" borderId="5" xfId="0" applyFill="1" applyBorder="1"/>
    <xf numFmtId="0" fontId="0" fillId="31" borderId="7" xfId="0" applyFill="1" applyBorder="1"/>
    <xf numFmtId="0" fontId="0" fillId="31" borderId="5" xfId="0" applyFill="1" applyBorder="1"/>
    <xf numFmtId="0" fontId="0" fillId="28" borderId="7" xfId="0" applyFill="1" applyBorder="1"/>
    <xf numFmtId="0" fontId="0" fillId="28" borderId="5" xfId="0" applyFill="1" applyBorder="1"/>
    <xf numFmtId="0" fontId="0" fillId="32" borderId="0" xfId="0" applyFill="1"/>
    <xf numFmtId="0" fontId="0" fillId="10" borderId="0" xfId="0" applyFill="1"/>
    <xf numFmtId="0" fontId="0" fillId="16" borderId="7" xfId="0" applyFill="1" applyBorder="1"/>
    <xf numFmtId="0" fontId="0" fillId="16" borderId="5" xfId="0" applyFill="1" applyBorder="1"/>
    <xf numFmtId="0" fontId="0" fillId="23" borderId="7" xfId="0" applyFill="1" applyBorder="1"/>
    <xf numFmtId="0" fontId="0" fillId="23" borderId="5" xfId="0" applyFill="1" applyBorder="1"/>
    <xf numFmtId="0" fontId="0" fillId="33" borderId="7" xfId="0" applyFill="1" applyBorder="1"/>
    <xf numFmtId="0" fontId="0" fillId="33" borderId="5" xfId="0" applyFill="1" applyBorder="1"/>
    <xf numFmtId="0" fontId="0" fillId="30" borderId="7" xfId="0" applyFill="1" applyBorder="1"/>
    <xf numFmtId="0" fontId="0" fillId="30" borderId="5" xfId="0" applyFill="1" applyBorder="1"/>
    <xf numFmtId="0" fontId="0" fillId="34" borderId="7" xfId="0" applyFill="1" applyBorder="1"/>
    <xf numFmtId="0" fontId="0" fillId="34" borderId="5" xfId="0" applyFill="1" applyBorder="1"/>
    <xf numFmtId="0" fontId="0" fillId="17" borderId="6" xfId="0" applyFill="1" applyBorder="1"/>
    <xf numFmtId="0" fontId="0" fillId="17" borderId="3" xfId="0" applyFill="1" applyBorder="1"/>
    <xf numFmtId="0" fontId="0" fillId="15" borderId="4" xfId="0" applyFill="1" applyBorder="1"/>
    <xf numFmtId="0" fontId="0" fillId="15" borderId="2" xfId="0" applyFill="1" applyBorder="1"/>
    <xf numFmtId="0" fontId="0" fillId="35" borderId="0" xfId="0" applyFill="1"/>
    <xf numFmtId="0" fontId="0" fillId="36" borderId="0" xfId="0" applyFill="1"/>
    <xf numFmtId="0" fontId="0" fillId="23" borderId="0" xfId="0" applyFill="1"/>
    <xf numFmtId="0" fontId="0" fillId="3" borderId="0" xfId="0" applyFill="1"/>
    <xf numFmtId="0" fontId="0" fillId="37" borderId="0" xfId="0" applyFill="1"/>
    <xf numFmtId="0" fontId="0" fillId="30" borderId="0" xfId="0" applyFill="1"/>
    <xf numFmtId="0" fontId="0" fillId="38" borderId="0" xfId="0" applyFill="1"/>
    <xf numFmtId="0" fontId="0" fillId="6" borderId="0" xfId="0" applyFill="1"/>
    <xf numFmtId="0" fontId="0" fillId="19" borderId="0" xfId="0" applyFill="1"/>
    <xf numFmtId="0" fontId="0" fillId="39" borderId="0" xfId="0" applyFill="1"/>
    <xf numFmtId="0" fontId="0" fillId="31" borderId="0" xfId="0" applyFill="1"/>
    <xf numFmtId="0" fontId="0" fillId="34" borderId="0" xfId="0" applyFill="1"/>
    <xf numFmtId="0" fontId="0" fillId="0" borderId="9" xfId="0" applyBorder="1"/>
    <xf numFmtId="0" fontId="0" fillId="34" borderId="9" xfId="0" applyFill="1" applyBorder="1"/>
    <xf numFmtId="0" fontId="0" fillId="0" borderId="10" xfId="0" applyBorder="1"/>
    <xf numFmtId="0" fontId="0" fillId="3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83E4-CC1A-48BC-B707-E4AEA809AC13}">
  <dimension ref="A1:T35"/>
  <sheetViews>
    <sheetView tabSelected="1" topLeftCell="A7" zoomScale="83" zoomScaleNormal="83" workbookViewId="0">
      <selection activeCell="T33" sqref="T33"/>
    </sheetView>
  </sheetViews>
  <sheetFormatPr baseColWidth="10" defaultRowHeight="14.4" x14ac:dyDescent="0.3"/>
  <cols>
    <col min="1" max="1" width="14.5546875" customWidth="1"/>
    <col min="13" max="13" width="14.5546875" customWidth="1"/>
    <col min="18" max="18" width="22.88671875" customWidth="1"/>
    <col min="19" max="19" width="19" customWidth="1"/>
  </cols>
  <sheetData>
    <row r="1" spans="1:16" ht="15" thickBot="1" x14ac:dyDescent="0.35"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s="1">
        <v>1</v>
      </c>
      <c r="C2" s="4">
        <v>1</v>
      </c>
      <c r="D2" s="6">
        <v>2</v>
      </c>
      <c r="E2" s="9">
        <v>3</v>
      </c>
      <c r="F2" s="11">
        <v>3</v>
      </c>
      <c r="G2" s="16">
        <v>3</v>
      </c>
      <c r="H2" s="19">
        <v>4</v>
      </c>
      <c r="I2" s="28">
        <v>4</v>
      </c>
      <c r="J2" s="32">
        <v>5</v>
      </c>
      <c r="K2" s="34">
        <v>5</v>
      </c>
      <c r="L2" s="36">
        <v>5</v>
      </c>
      <c r="M2" s="38">
        <v>7</v>
      </c>
      <c r="N2" s="74">
        <v>7</v>
      </c>
      <c r="O2" s="4">
        <v>9</v>
      </c>
      <c r="P2" s="72">
        <v>9</v>
      </c>
    </row>
    <row r="3" spans="1:16" x14ac:dyDescent="0.3">
      <c r="A3" t="s">
        <v>2</v>
      </c>
      <c r="B3" s="3">
        <f>1/C2</f>
        <v>1</v>
      </c>
      <c r="C3">
        <v>1</v>
      </c>
      <c r="D3" s="7">
        <v>2</v>
      </c>
      <c r="E3" s="24">
        <v>3</v>
      </c>
      <c r="F3" s="14">
        <v>3</v>
      </c>
      <c r="G3" s="17">
        <v>3</v>
      </c>
      <c r="H3" s="26">
        <v>4</v>
      </c>
      <c r="I3" s="30">
        <v>4</v>
      </c>
      <c r="J3" s="25">
        <v>5</v>
      </c>
      <c r="K3" s="84">
        <v>5</v>
      </c>
      <c r="L3" s="25">
        <v>5</v>
      </c>
      <c r="M3" s="83">
        <v>7</v>
      </c>
      <c r="N3" s="17">
        <v>7</v>
      </c>
      <c r="O3" s="82">
        <v>9</v>
      </c>
      <c r="P3" s="70">
        <v>9</v>
      </c>
    </row>
    <row r="4" spans="1:16" x14ac:dyDescent="0.3">
      <c r="A4" t="s">
        <v>1</v>
      </c>
      <c r="B4" s="5">
        <f>1/D2</f>
        <v>0.5</v>
      </c>
      <c r="C4" s="7">
        <f>1/D3</f>
        <v>0.5</v>
      </c>
      <c r="D4">
        <v>1</v>
      </c>
      <c r="E4" s="13">
        <v>2</v>
      </c>
      <c r="F4" s="18">
        <v>2</v>
      </c>
      <c r="G4" s="23">
        <v>2</v>
      </c>
      <c r="H4" s="24">
        <v>3</v>
      </c>
      <c r="I4">
        <v>3</v>
      </c>
      <c r="J4" s="78">
        <v>4</v>
      </c>
      <c r="K4">
        <v>4</v>
      </c>
      <c r="L4" s="46">
        <v>4</v>
      </c>
      <c r="M4">
        <v>5</v>
      </c>
      <c r="N4" s="47">
        <v>5</v>
      </c>
      <c r="O4" s="39">
        <v>7</v>
      </c>
      <c r="P4" s="68">
        <v>7</v>
      </c>
    </row>
    <row r="5" spans="1:16" x14ac:dyDescent="0.3">
      <c r="A5" t="s">
        <v>3</v>
      </c>
      <c r="B5" s="8">
        <f>1/E2</f>
        <v>0.33333333333333331</v>
      </c>
      <c r="C5" s="24">
        <f>1/E3</f>
        <v>0.33333333333333331</v>
      </c>
      <c r="D5" s="13">
        <f>1/E4</f>
        <v>0.5</v>
      </c>
      <c r="E5">
        <v>1</v>
      </c>
      <c r="F5" s="21">
        <v>1</v>
      </c>
      <c r="G5" s="25">
        <v>1</v>
      </c>
      <c r="H5" s="22">
        <v>2</v>
      </c>
      <c r="I5" s="85">
        <v>2</v>
      </c>
      <c r="J5">
        <v>3</v>
      </c>
      <c r="K5" s="45">
        <v>3</v>
      </c>
      <c r="L5">
        <v>3</v>
      </c>
      <c r="M5" s="24">
        <v>4</v>
      </c>
      <c r="N5">
        <v>5</v>
      </c>
      <c r="O5" s="81">
        <v>6</v>
      </c>
      <c r="P5" s="58">
        <v>6</v>
      </c>
    </row>
    <row r="6" spans="1:16" x14ac:dyDescent="0.3">
      <c r="A6" t="s">
        <v>15</v>
      </c>
      <c r="B6" s="10">
        <f>1/F2</f>
        <v>0.33333333333333331</v>
      </c>
      <c r="C6" s="14">
        <f>1/F3</f>
        <v>0.33333333333333331</v>
      </c>
      <c r="D6" s="18">
        <f>1/F4</f>
        <v>0.5</v>
      </c>
      <c r="E6" s="21">
        <f>1/F5</f>
        <v>1</v>
      </c>
      <c r="F6">
        <v>1</v>
      </c>
      <c r="G6" s="29">
        <v>1</v>
      </c>
      <c r="H6" s="7">
        <v>2</v>
      </c>
      <c r="I6" s="21">
        <v>2</v>
      </c>
      <c r="J6" s="24">
        <v>2</v>
      </c>
      <c r="K6">
        <v>3</v>
      </c>
      <c r="L6" s="81">
        <v>3</v>
      </c>
      <c r="M6">
        <v>4</v>
      </c>
      <c r="N6">
        <v>4</v>
      </c>
      <c r="O6" s="80">
        <v>5</v>
      </c>
      <c r="P6" s="62">
        <v>5</v>
      </c>
    </row>
    <row r="7" spans="1:16" x14ac:dyDescent="0.3">
      <c r="A7" t="s">
        <v>5</v>
      </c>
      <c r="B7" s="15">
        <f>1/G2</f>
        <v>0.33333333333333331</v>
      </c>
      <c r="C7" s="17">
        <f>1/G3</f>
        <v>0.33333333333333331</v>
      </c>
      <c r="D7" s="23">
        <f>1/G4</f>
        <v>0.5</v>
      </c>
      <c r="E7" s="25">
        <f>1/G5</f>
        <v>1</v>
      </c>
      <c r="F7" s="29">
        <f>1/G6</f>
        <v>1</v>
      </c>
      <c r="G7">
        <v>1</v>
      </c>
      <c r="H7" s="18">
        <v>2</v>
      </c>
      <c r="I7" s="44">
        <v>2</v>
      </c>
      <c r="J7" s="12">
        <v>2</v>
      </c>
      <c r="K7" s="77">
        <v>3</v>
      </c>
      <c r="L7">
        <v>3</v>
      </c>
      <c r="M7">
        <v>4</v>
      </c>
      <c r="N7" s="7">
        <v>4</v>
      </c>
      <c r="O7" s="60">
        <v>5</v>
      </c>
      <c r="P7" s="66">
        <v>5</v>
      </c>
    </row>
    <row r="8" spans="1:16" x14ac:dyDescent="0.3">
      <c r="A8" t="s">
        <v>6</v>
      </c>
      <c r="B8" s="20">
        <f>1/H2</f>
        <v>0.25</v>
      </c>
      <c r="C8" s="26">
        <f>1/H3</f>
        <v>0.25</v>
      </c>
      <c r="D8" s="24">
        <f>1/H4</f>
        <v>0.33333333333333331</v>
      </c>
      <c r="E8" s="22">
        <f>1/H5</f>
        <v>0.5</v>
      </c>
      <c r="F8" s="7">
        <f>1/H6</f>
        <v>0.5</v>
      </c>
      <c r="G8" s="18">
        <f>1/H7</f>
        <v>0.5</v>
      </c>
      <c r="H8">
        <v>1</v>
      </c>
      <c r="I8" s="39">
        <v>1</v>
      </c>
      <c r="J8" s="45">
        <v>2</v>
      </c>
      <c r="K8" s="75">
        <v>2</v>
      </c>
      <c r="L8">
        <v>2</v>
      </c>
      <c r="M8" s="12">
        <v>3</v>
      </c>
      <c r="N8" s="79">
        <v>3</v>
      </c>
      <c r="O8" s="25">
        <v>4</v>
      </c>
      <c r="P8" s="64">
        <v>4</v>
      </c>
    </row>
    <row r="9" spans="1:16" x14ac:dyDescent="0.3">
      <c r="A9" t="s">
        <v>7</v>
      </c>
      <c r="B9" s="27">
        <f>1/I2</f>
        <v>0.25</v>
      </c>
      <c r="C9" s="30">
        <f>1/I3</f>
        <v>0.25</v>
      </c>
      <c r="D9">
        <f>1/I4</f>
        <v>0.33333333333333331</v>
      </c>
      <c r="E9" s="85">
        <f>1/I5</f>
        <v>0.5</v>
      </c>
      <c r="F9" s="21">
        <f>1/I6</f>
        <v>0.5</v>
      </c>
      <c r="G9" s="44">
        <f>1/I7</f>
        <v>0.5</v>
      </c>
      <c r="H9" s="39">
        <f>1/I8</f>
        <v>1</v>
      </c>
      <c r="I9">
        <v>1</v>
      </c>
      <c r="J9" s="40">
        <v>2</v>
      </c>
      <c r="K9" s="46">
        <v>2</v>
      </c>
      <c r="L9" s="76">
        <v>2</v>
      </c>
      <c r="M9" s="17">
        <v>3</v>
      </c>
      <c r="N9" s="26">
        <v>3</v>
      </c>
      <c r="O9" s="78">
        <v>4</v>
      </c>
      <c r="P9" s="62">
        <v>4</v>
      </c>
    </row>
    <row r="10" spans="1:16" x14ac:dyDescent="0.3">
      <c r="A10" t="s">
        <v>16</v>
      </c>
      <c r="B10" s="31">
        <f>1/J2</f>
        <v>0.2</v>
      </c>
      <c r="C10" s="25">
        <f>1/J3</f>
        <v>0.2</v>
      </c>
      <c r="D10" s="78">
        <f>1/J4</f>
        <v>0.25</v>
      </c>
      <c r="E10">
        <f>1/J5</f>
        <v>0.33333333333333331</v>
      </c>
      <c r="F10" s="24">
        <f>1/J6</f>
        <v>0.5</v>
      </c>
      <c r="G10" s="12">
        <f>1/J7</f>
        <v>0.5</v>
      </c>
      <c r="H10" s="45">
        <f>1/J8</f>
        <v>0.5</v>
      </c>
      <c r="I10" s="40">
        <f>1/J9</f>
        <v>0.5</v>
      </c>
      <c r="J10">
        <v>1</v>
      </c>
      <c r="K10" s="23">
        <v>2</v>
      </c>
      <c r="L10" s="45">
        <v>2</v>
      </c>
      <c r="M10" s="60">
        <v>3</v>
      </c>
      <c r="N10" s="22">
        <v>3</v>
      </c>
      <c r="O10" s="24">
        <v>4</v>
      </c>
      <c r="P10" s="58">
        <v>4</v>
      </c>
    </row>
    <row r="11" spans="1:16" x14ac:dyDescent="0.3">
      <c r="A11" t="s">
        <v>9</v>
      </c>
      <c r="B11" s="33">
        <f>1/K2</f>
        <v>0.2</v>
      </c>
      <c r="C11" s="84">
        <f>1/K3</f>
        <v>0.2</v>
      </c>
      <c r="D11">
        <f>1/K4</f>
        <v>0.25</v>
      </c>
      <c r="E11" s="45">
        <f>1/K5</f>
        <v>0.33333333333333331</v>
      </c>
      <c r="F11">
        <f>1/K6</f>
        <v>0.33333333333333331</v>
      </c>
      <c r="G11" s="77">
        <f>1/K7</f>
        <v>0.33333333333333331</v>
      </c>
      <c r="H11" s="75">
        <f>1/K8</f>
        <v>0.5</v>
      </c>
      <c r="I11" s="46">
        <f>1/K9</f>
        <v>0.5</v>
      </c>
      <c r="J11" s="23">
        <f>1/K10</f>
        <v>0.5</v>
      </c>
      <c r="K11">
        <v>1</v>
      </c>
      <c r="L11" s="26">
        <v>1</v>
      </c>
      <c r="M11" s="47">
        <v>2</v>
      </c>
      <c r="N11" s="40">
        <v>2</v>
      </c>
      <c r="O11" s="59">
        <v>3</v>
      </c>
      <c r="P11" s="56">
        <v>3</v>
      </c>
    </row>
    <row r="12" spans="1:16" x14ac:dyDescent="0.3">
      <c r="A12" t="s">
        <v>10</v>
      </c>
      <c r="B12" s="35">
        <f>1/L2</f>
        <v>0.2</v>
      </c>
      <c r="C12" s="25">
        <f>1/L3</f>
        <v>0.2</v>
      </c>
      <c r="D12" s="46">
        <f>1/L4</f>
        <v>0.25</v>
      </c>
      <c r="E12">
        <f>1/L5</f>
        <v>0.33333333333333331</v>
      </c>
      <c r="F12" s="81">
        <f>1/L6</f>
        <v>0.33333333333333331</v>
      </c>
      <c r="G12">
        <f>1/L7</f>
        <v>0.33333333333333331</v>
      </c>
      <c r="H12">
        <f>1/L8</f>
        <v>0.5</v>
      </c>
      <c r="I12" s="76">
        <f>1/L9</f>
        <v>0.5</v>
      </c>
      <c r="J12" s="45">
        <f>1/L10</f>
        <v>0.5</v>
      </c>
      <c r="K12" s="26">
        <f>1/L11</f>
        <v>1</v>
      </c>
      <c r="L12">
        <v>1</v>
      </c>
      <c r="M12" s="41">
        <v>2</v>
      </c>
      <c r="N12" s="48">
        <v>2</v>
      </c>
      <c r="O12" s="25">
        <v>3</v>
      </c>
      <c r="P12" s="54">
        <v>3</v>
      </c>
    </row>
    <row r="13" spans="1:16" x14ac:dyDescent="0.3">
      <c r="A13" t="s">
        <v>11</v>
      </c>
      <c r="B13" s="37">
        <f>1/M2</f>
        <v>0.14285714285714285</v>
      </c>
      <c r="C13" s="83">
        <f>1/M3</f>
        <v>0.14285714285714285</v>
      </c>
      <c r="D13">
        <f>1/M4</f>
        <v>0.2</v>
      </c>
      <c r="E13" s="24">
        <f>1/M5</f>
        <v>0.25</v>
      </c>
      <c r="F13">
        <f>1/M6</f>
        <v>0.25</v>
      </c>
      <c r="G13">
        <f>1/M7</f>
        <v>0.25</v>
      </c>
      <c r="H13" s="12">
        <f>1/M8</f>
        <v>0.33333333333333331</v>
      </c>
      <c r="I13" s="17">
        <f>1/M9</f>
        <v>0.33333333333333331</v>
      </c>
      <c r="J13" s="60">
        <f>1/M10</f>
        <v>0.33333333333333331</v>
      </c>
      <c r="K13" s="47">
        <f>1/M11</f>
        <v>0.5</v>
      </c>
      <c r="L13" s="41">
        <f>1/M12</f>
        <v>0.5</v>
      </c>
      <c r="M13">
        <v>1</v>
      </c>
      <c r="N13" s="24">
        <v>1</v>
      </c>
      <c r="O13" s="21">
        <v>2</v>
      </c>
      <c r="P13" s="52">
        <v>2</v>
      </c>
    </row>
    <row r="14" spans="1:16" x14ac:dyDescent="0.3">
      <c r="A14" t="s">
        <v>12</v>
      </c>
      <c r="B14" s="73">
        <f>1/N2</f>
        <v>0.14285714285714285</v>
      </c>
      <c r="C14" s="17">
        <f>1/N3</f>
        <v>0.14285714285714285</v>
      </c>
      <c r="D14" s="47">
        <f>1/N4</f>
        <v>0.2</v>
      </c>
      <c r="E14">
        <f>1/N5</f>
        <v>0.2</v>
      </c>
      <c r="F14">
        <f>1/N6</f>
        <v>0.25</v>
      </c>
      <c r="G14" s="7">
        <f>1/N7</f>
        <v>0.25</v>
      </c>
      <c r="H14" s="79">
        <f>1/N8</f>
        <v>0.33333333333333331</v>
      </c>
      <c r="I14" s="26">
        <f>1/N9</f>
        <v>0.33333333333333331</v>
      </c>
      <c r="J14" s="22">
        <f>1/N10</f>
        <v>0.33333333333333331</v>
      </c>
      <c r="K14" s="40">
        <f>1/N11</f>
        <v>0.5</v>
      </c>
      <c r="L14" s="48">
        <f>1/N12</f>
        <v>0.5</v>
      </c>
      <c r="M14" s="24">
        <f>1/N13</f>
        <v>1</v>
      </c>
      <c r="N14">
        <v>1</v>
      </c>
      <c r="O14" s="14">
        <v>2</v>
      </c>
      <c r="P14" s="50">
        <v>2</v>
      </c>
    </row>
    <row r="15" spans="1:16" x14ac:dyDescent="0.3">
      <c r="A15" t="s">
        <v>17</v>
      </c>
      <c r="B15" s="3">
        <f>1/O2</f>
        <v>0.1111111111111111</v>
      </c>
      <c r="C15" s="82">
        <f>1/O3</f>
        <v>0.1111111111111111</v>
      </c>
      <c r="D15" s="39">
        <f>1/O4</f>
        <v>0.14285714285714285</v>
      </c>
      <c r="E15" s="81">
        <f>1/O5</f>
        <v>0.16666666666666666</v>
      </c>
      <c r="F15" s="80">
        <f>1/O6</f>
        <v>0.2</v>
      </c>
      <c r="G15" s="60">
        <f>1/O7</f>
        <v>0.2</v>
      </c>
      <c r="H15" s="25">
        <f>1/O8</f>
        <v>0.25</v>
      </c>
      <c r="I15" s="78">
        <f>1/O9</f>
        <v>0.25</v>
      </c>
      <c r="J15" s="24">
        <f>1/O10</f>
        <v>0.25</v>
      </c>
      <c r="K15" s="59">
        <f>1/O11</f>
        <v>0.33333333333333331</v>
      </c>
      <c r="L15" s="25">
        <f>1/O12</f>
        <v>0.33333333333333331</v>
      </c>
      <c r="M15" s="21">
        <f>1/O13</f>
        <v>0.5</v>
      </c>
      <c r="N15" s="14">
        <f>1/O14</f>
        <v>0.5</v>
      </c>
      <c r="O15">
        <v>1</v>
      </c>
      <c r="P15" s="43">
        <v>1</v>
      </c>
    </row>
    <row r="16" spans="1:16" ht="15" thickBot="1" x14ac:dyDescent="0.35">
      <c r="A16" t="s">
        <v>14</v>
      </c>
      <c r="B16" s="71">
        <f>1/P2</f>
        <v>0.1111111111111111</v>
      </c>
      <c r="C16" s="69">
        <f>1/P3</f>
        <v>0.1111111111111111</v>
      </c>
      <c r="D16" s="67">
        <f>1/P4</f>
        <v>0.14285714285714285</v>
      </c>
      <c r="E16" s="57">
        <f>1/P5</f>
        <v>0.16666666666666666</v>
      </c>
      <c r="F16" s="61">
        <f>1/P6</f>
        <v>0.2</v>
      </c>
      <c r="G16" s="65">
        <f>1/P7</f>
        <v>0.2</v>
      </c>
      <c r="H16" s="63">
        <f>1/P8</f>
        <v>0.25</v>
      </c>
      <c r="I16" s="61">
        <f>1/P9</f>
        <v>0.25</v>
      </c>
      <c r="J16" s="57">
        <f>1/P10</f>
        <v>0.25</v>
      </c>
      <c r="K16" s="55">
        <f>1/P11</f>
        <v>0.33333333333333331</v>
      </c>
      <c r="L16" s="53">
        <f>1/P12</f>
        <v>0.33333333333333331</v>
      </c>
      <c r="M16" s="51">
        <f>1/P13</f>
        <v>0.5</v>
      </c>
      <c r="N16" s="49">
        <f>1/P14</f>
        <v>0.5</v>
      </c>
      <c r="O16" s="42">
        <f>1/P15</f>
        <v>1</v>
      </c>
      <c r="P16" s="2">
        <v>1</v>
      </c>
    </row>
    <row r="17" spans="1:20" x14ac:dyDescent="0.3">
      <c r="B17">
        <f>SUM(B2:B16)</f>
        <v>5.1079365079365084</v>
      </c>
      <c r="C17">
        <f t="shared" ref="C17:P17" si="0">SUM(C2:C16)</f>
        <v>5.1079365079365084</v>
      </c>
      <c r="D17">
        <f t="shared" si="0"/>
        <v>8.6023809523809494</v>
      </c>
      <c r="E17">
        <f t="shared" si="0"/>
        <v>13.783333333333333</v>
      </c>
      <c r="F17">
        <f t="shared" si="0"/>
        <v>14.066666666666666</v>
      </c>
      <c r="G17">
        <f t="shared" si="0"/>
        <v>14.066666666666666</v>
      </c>
      <c r="H17">
        <f t="shared" si="0"/>
        <v>21.666666666666664</v>
      </c>
      <c r="I17">
        <f t="shared" si="0"/>
        <v>21.666666666666664</v>
      </c>
      <c r="J17">
        <f t="shared" si="0"/>
        <v>28.166666666666664</v>
      </c>
      <c r="K17">
        <f t="shared" si="0"/>
        <v>32.666666666666671</v>
      </c>
      <c r="L17">
        <f t="shared" si="0"/>
        <v>32.666666666666671</v>
      </c>
      <c r="M17">
        <f t="shared" si="0"/>
        <v>47</v>
      </c>
      <c r="N17">
        <f t="shared" si="0"/>
        <v>48</v>
      </c>
      <c r="O17">
        <f t="shared" si="0"/>
        <v>65</v>
      </c>
      <c r="P17">
        <f t="shared" si="0"/>
        <v>65</v>
      </c>
    </row>
    <row r="19" spans="1:20" x14ac:dyDescent="0.3">
      <c r="B19" t="s">
        <v>0</v>
      </c>
      <c r="C19" t="s">
        <v>2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18</v>
      </c>
      <c r="R19" t="s">
        <v>19</v>
      </c>
      <c r="S19" t="s">
        <v>20</v>
      </c>
      <c r="T19" t="s">
        <v>23</v>
      </c>
    </row>
    <row r="20" spans="1:20" x14ac:dyDescent="0.3">
      <c r="A20" t="s">
        <v>0</v>
      </c>
      <c r="B20" s="87">
        <f>B2/B$17</f>
        <v>0.19577377252952141</v>
      </c>
      <c r="C20" s="87">
        <f t="shared" ref="C20:P20" si="1">C2/C$17</f>
        <v>0.19577377252952141</v>
      </c>
      <c r="D20" s="87">
        <f t="shared" si="1"/>
        <v>0.23249377248823699</v>
      </c>
      <c r="E20" s="87">
        <f t="shared" si="1"/>
        <v>0.21765417170495768</v>
      </c>
      <c r="F20" s="87">
        <f t="shared" si="1"/>
        <v>0.2132701421800948</v>
      </c>
      <c r="G20" s="87">
        <f t="shared" si="1"/>
        <v>0.2132701421800948</v>
      </c>
      <c r="H20" s="87">
        <f t="shared" si="1"/>
        <v>0.18461538461538463</v>
      </c>
      <c r="I20" s="87">
        <f t="shared" si="1"/>
        <v>0.18461538461538463</v>
      </c>
      <c r="J20" s="87">
        <f t="shared" si="1"/>
        <v>0.1775147928994083</v>
      </c>
      <c r="K20" s="87">
        <f t="shared" si="1"/>
        <v>0.15306122448979589</v>
      </c>
      <c r="L20" s="87">
        <f t="shared" si="1"/>
        <v>0.15306122448979589</v>
      </c>
      <c r="M20" s="87">
        <f t="shared" si="1"/>
        <v>0.14893617021276595</v>
      </c>
      <c r="N20" s="87">
        <f t="shared" si="1"/>
        <v>0.14583333333333334</v>
      </c>
      <c r="O20" s="87">
        <f t="shared" si="1"/>
        <v>0.13846153846153847</v>
      </c>
      <c r="P20" s="87">
        <f t="shared" si="1"/>
        <v>0.13846153846153847</v>
      </c>
      <c r="Q20" s="88">
        <f>AVERAGE(B20:P20)</f>
        <v>0.17951975767942488</v>
      </c>
      <c r="R20">
        <f>MMULT(B2:P16, Q20:Q34)</f>
        <v>2.8074591246806211</v>
      </c>
      <c r="S20">
        <f>AVERAGE(R20:R34 / Q20:Q34)</f>
        <v>15.638719442202042</v>
      </c>
      <c r="T20">
        <f>Q20*100</f>
        <v>17.951975767942489</v>
      </c>
    </row>
    <row r="21" spans="1:20" x14ac:dyDescent="0.3">
      <c r="A21" t="s">
        <v>2</v>
      </c>
      <c r="B21">
        <f t="shared" ref="B21:P21" si="2">B3/B$17</f>
        <v>0.19577377252952141</v>
      </c>
      <c r="C21">
        <f t="shared" si="2"/>
        <v>0.19577377252952141</v>
      </c>
      <c r="D21">
        <f t="shared" si="2"/>
        <v>0.23249377248823699</v>
      </c>
      <c r="E21">
        <f t="shared" si="2"/>
        <v>0.21765417170495768</v>
      </c>
      <c r="F21">
        <f t="shared" si="2"/>
        <v>0.2132701421800948</v>
      </c>
      <c r="G21">
        <f t="shared" si="2"/>
        <v>0.2132701421800948</v>
      </c>
      <c r="H21">
        <f t="shared" si="2"/>
        <v>0.18461538461538463</v>
      </c>
      <c r="I21">
        <f t="shared" si="2"/>
        <v>0.18461538461538463</v>
      </c>
      <c r="J21">
        <f t="shared" si="2"/>
        <v>0.1775147928994083</v>
      </c>
      <c r="K21">
        <f t="shared" si="2"/>
        <v>0.15306122448979589</v>
      </c>
      <c r="L21">
        <f t="shared" si="2"/>
        <v>0.15306122448979589</v>
      </c>
      <c r="M21">
        <f t="shared" si="2"/>
        <v>0.14893617021276595</v>
      </c>
      <c r="N21">
        <f t="shared" si="2"/>
        <v>0.14583333333333334</v>
      </c>
      <c r="O21">
        <f t="shared" si="2"/>
        <v>0.13846153846153847</v>
      </c>
      <c r="P21">
        <f t="shared" si="2"/>
        <v>0.13846153846153847</v>
      </c>
      <c r="Q21" s="86">
        <f t="shared" ref="Q21:Q34" si="3">AVERAGE(B21:P21)</f>
        <v>0.17951975767942488</v>
      </c>
      <c r="T21">
        <f t="shared" ref="T21:T34" si="4">Q21*100</f>
        <v>17.951975767942489</v>
      </c>
    </row>
    <row r="22" spans="1:20" x14ac:dyDescent="0.3">
      <c r="A22" t="s">
        <v>1</v>
      </c>
      <c r="B22">
        <f t="shared" ref="B22:P22" si="5">B4/B$17</f>
        <v>9.7886886264760706E-2</v>
      </c>
      <c r="C22">
        <f t="shared" si="5"/>
        <v>9.7886886264760706E-2</v>
      </c>
      <c r="D22">
        <f t="shared" si="5"/>
        <v>0.1162468862441185</v>
      </c>
      <c r="E22">
        <f t="shared" si="5"/>
        <v>0.14510278113663846</v>
      </c>
      <c r="F22">
        <f t="shared" si="5"/>
        <v>0.14218009478672985</v>
      </c>
      <c r="G22">
        <f t="shared" si="5"/>
        <v>0.14218009478672985</v>
      </c>
      <c r="H22">
        <f t="shared" si="5"/>
        <v>0.13846153846153847</v>
      </c>
      <c r="I22">
        <f t="shared" si="5"/>
        <v>0.13846153846153847</v>
      </c>
      <c r="J22">
        <f t="shared" si="5"/>
        <v>0.14201183431952663</v>
      </c>
      <c r="K22">
        <f t="shared" si="5"/>
        <v>0.12244897959183672</v>
      </c>
      <c r="L22">
        <f t="shared" si="5"/>
        <v>0.12244897959183672</v>
      </c>
      <c r="M22">
        <f t="shared" si="5"/>
        <v>0.10638297872340426</v>
      </c>
      <c r="N22">
        <f t="shared" si="5"/>
        <v>0.10416666666666667</v>
      </c>
      <c r="O22">
        <f t="shared" si="5"/>
        <v>0.1076923076923077</v>
      </c>
      <c r="P22">
        <f t="shared" si="5"/>
        <v>0.1076923076923077</v>
      </c>
      <c r="Q22" s="86">
        <f t="shared" si="3"/>
        <v>0.12208338404564677</v>
      </c>
      <c r="R22" s="80" t="s">
        <v>21</v>
      </c>
      <c r="T22">
        <f t="shared" si="4"/>
        <v>12.208338404564676</v>
      </c>
    </row>
    <row r="23" spans="1:20" x14ac:dyDescent="0.3">
      <c r="A23" t="s">
        <v>3</v>
      </c>
      <c r="B23">
        <f t="shared" ref="B23:P23" si="6">B5/B$17</f>
        <v>6.5257924176507137E-2</v>
      </c>
      <c r="C23">
        <f t="shared" si="6"/>
        <v>6.5257924176507137E-2</v>
      </c>
      <c r="D23">
        <f t="shared" si="6"/>
        <v>5.8123443122059248E-2</v>
      </c>
      <c r="E23">
        <f t="shared" si="6"/>
        <v>7.2551390568319232E-2</v>
      </c>
      <c r="F23">
        <f t="shared" si="6"/>
        <v>7.1090047393364927E-2</v>
      </c>
      <c r="G23">
        <f t="shared" si="6"/>
        <v>7.1090047393364927E-2</v>
      </c>
      <c r="H23">
        <f t="shared" si="6"/>
        <v>9.2307692307692313E-2</v>
      </c>
      <c r="I23">
        <f t="shared" si="6"/>
        <v>9.2307692307692313E-2</v>
      </c>
      <c r="J23">
        <f t="shared" si="6"/>
        <v>0.10650887573964497</v>
      </c>
      <c r="K23">
        <f t="shared" si="6"/>
        <v>9.1836734693877542E-2</v>
      </c>
      <c r="L23">
        <f t="shared" si="6"/>
        <v>9.1836734693877542E-2</v>
      </c>
      <c r="M23">
        <f t="shared" si="6"/>
        <v>8.5106382978723402E-2</v>
      </c>
      <c r="N23">
        <f t="shared" si="6"/>
        <v>0.10416666666666667</v>
      </c>
      <c r="O23">
        <f t="shared" si="6"/>
        <v>9.2307692307692313E-2</v>
      </c>
      <c r="P23">
        <f t="shared" si="6"/>
        <v>9.2307692307692313E-2</v>
      </c>
      <c r="Q23" s="86">
        <f t="shared" si="3"/>
        <v>8.3470462722245481E-2</v>
      </c>
      <c r="R23" s="80">
        <f>(S20-15)/14</f>
        <v>4.562281730014587E-2</v>
      </c>
      <c r="T23">
        <f t="shared" si="4"/>
        <v>8.3470462722245475</v>
      </c>
    </row>
    <row r="24" spans="1:20" x14ac:dyDescent="0.3">
      <c r="A24" t="s">
        <v>15</v>
      </c>
      <c r="B24">
        <f t="shared" ref="B24:P24" si="7">B6/B$17</f>
        <v>6.5257924176507137E-2</v>
      </c>
      <c r="C24">
        <f t="shared" si="7"/>
        <v>6.5257924176507137E-2</v>
      </c>
      <c r="D24">
        <f t="shared" si="7"/>
        <v>5.8123443122059248E-2</v>
      </c>
      <c r="E24">
        <f t="shared" si="7"/>
        <v>7.2551390568319232E-2</v>
      </c>
      <c r="F24">
        <f t="shared" si="7"/>
        <v>7.1090047393364927E-2</v>
      </c>
      <c r="G24">
        <f t="shared" si="7"/>
        <v>7.1090047393364927E-2</v>
      </c>
      <c r="H24">
        <f t="shared" si="7"/>
        <v>9.2307692307692313E-2</v>
      </c>
      <c r="I24">
        <f t="shared" si="7"/>
        <v>9.2307692307692313E-2</v>
      </c>
      <c r="J24">
        <f t="shared" si="7"/>
        <v>7.1005917159763315E-2</v>
      </c>
      <c r="K24">
        <f t="shared" si="7"/>
        <v>9.1836734693877542E-2</v>
      </c>
      <c r="L24">
        <f t="shared" si="7"/>
        <v>9.1836734693877542E-2</v>
      </c>
      <c r="M24">
        <f t="shared" si="7"/>
        <v>8.5106382978723402E-2</v>
      </c>
      <c r="N24">
        <f t="shared" si="7"/>
        <v>8.3333333333333329E-2</v>
      </c>
      <c r="O24">
        <f t="shared" si="7"/>
        <v>7.6923076923076927E-2</v>
      </c>
      <c r="P24">
        <f t="shared" si="7"/>
        <v>7.6923076923076927E-2</v>
      </c>
      <c r="Q24" s="86">
        <f t="shared" si="3"/>
        <v>7.7663427876749083E-2</v>
      </c>
      <c r="T24">
        <f t="shared" si="4"/>
        <v>7.7663427876749083</v>
      </c>
    </row>
    <row r="25" spans="1:20" x14ac:dyDescent="0.3">
      <c r="A25" t="s">
        <v>5</v>
      </c>
      <c r="B25">
        <f t="shared" ref="B25:P25" si="8">B7/B$17</f>
        <v>6.5257924176507137E-2</v>
      </c>
      <c r="C25">
        <f t="shared" si="8"/>
        <v>6.5257924176507137E-2</v>
      </c>
      <c r="D25">
        <f t="shared" si="8"/>
        <v>5.8123443122059248E-2</v>
      </c>
      <c r="E25">
        <f t="shared" si="8"/>
        <v>7.2551390568319232E-2</v>
      </c>
      <c r="F25">
        <f t="shared" si="8"/>
        <v>7.1090047393364927E-2</v>
      </c>
      <c r="G25">
        <f t="shared" si="8"/>
        <v>7.1090047393364927E-2</v>
      </c>
      <c r="H25">
        <f t="shared" si="8"/>
        <v>9.2307692307692313E-2</v>
      </c>
      <c r="I25">
        <f t="shared" si="8"/>
        <v>9.2307692307692313E-2</v>
      </c>
      <c r="J25">
        <f t="shared" si="8"/>
        <v>7.1005917159763315E-2</v>
      </c>
      <c r="K25">
        <f t="shared" si="8"/>
        <v>9.1836734693877542E-2</v>
      </c>
      <c r="L25">
        <f t="shared" si="8"/>
        <v>9.1836734693877542E-2</v>
      </c>
      <c r="M25">
        <f t="shared" si="8"/>
        <v>8.5106382978723402E-2</v>
      </c>
      <c r="N25">
        <f t="shared" si="8"/>
        <v>8.3333333333333329E-2</v>
      </c>
      <c r="O25">
        <f t="shared" si="8"/>
        <v>7.6923076923076927E-2</v>
      </c>
      <c r="P25">
        <f t="shared" si="8"/>
        <v>7.6923076923076927E-2</v>
      </c>
      <c r="Q25" s="86">
        <f t="shared" si="3"/>
        <v>7.7663427876749083E-2</v>
      </c>
      <c r="R25" s="85" t="s">
        <v>22</v>
      </c>
      <c r="T25">
        <f t="shared" si="4"/>
        <v>7.7663427876749083</v>
      </c>
    </row>
    <row r="26" spans="1:20" x14ac:dyDescent="0.3">
      <c r="A26" t="s">
        <v>6</v>
      </c>
      <c r="B26">
        <f t="shared" ref="B26:P26" si="9">B8/B$17</f>
        <v>4.8943443132380353E-2</v>
      </c>
      <c r="C26">
        <f t="shared" si="9"/>
        <v>4.8943443132380353E-2</v>
      </c>
      <c r="D26">
        <f t="shared" si="9"/>
        <v>3.874896208137283E-2</v>
      </c>
      <c r="E26">
        <f t="shared" si="9"/>
        <v>3.6275695284159616E-2</v>
      </c>
      <c r="F26">
        <f t="shared" si="9"/>
        <v>3.5545023696682464E-2</v>
      </c>
      <c r="G26">
        <f t="shared" si="9"/>
        <v>3.5545023696682464E-2</v>
      </c>
      <c r="H26">
        <f t="shared" si="9"/>
        <v>4.6153846153846156E-2</v>
      </c>
      <c r="I26">
        <f t="shared" si="9"/>
        <v>4.6153846153846156E-2</v>
      </c>
      <c r="J26">
        <f t="shared" si="9"/>
        <v>7.1005917159763315E-2</v>
      </c>
      <c r="K26">
        <f t="shared" si="9"/>
        <v>6.1224489795918359E-2</v>
      </c>
      <c r="L26">
        <f t="shared" si="9"/>
        <v>6.1224489795918359E-2</v>
      </c>
      <c r="M26">
        <f t="shared" si="9"/>
        <v>6.3829787234042548E-2</v>
      </c>
      <c r="N26">
        <f t="shared" si="9"/>
        <v>6.25E-2</v>
      </c>
      <c r="O26">
        <f t="shared" si="9"/>
        <v>6.1538461538461542E-2</v>
      </c>
      <c r="P26">
        <f t="shared" si="9"/>
        <v>6.1538461538461542E-2</v>
      </c>
      <c r="Q26" s="86">
        <f t="shared" si="3"/>
        <v>5.1944726026261073E-2</v>
      </c>
      <c r="R26" s="85">
        <f>R23/1.59</f>
        <v>2.8693595786255261E-2</v>
      </c>
      <c r="T26">
        <f t="shared" si="4"/>
        <v>5.1944726026261074</v>
      </c>
    </row>
    <row r="27" spans="1:20" x14ac:dyDescent="0.3">
      <c r="A27" t="s">
        <v>7</v>
      </c>
      <c r="B27">
        <f t="shared" ref="B27:P27" si="10">B9/B$17</f>
        <v>4.8943443132380353E-2</v>
      </c>
      <c r="C27">
        <f t="shared" si="10"/>
        <v>4.8943443132380353E-2</v>
      </c>
      <c r="D27">
        <f t="shared" si="10"/>
        <v>3.874896208137283E-2</v>
      </c>
      <c r="E27">
        <f t="shared" si="10"/>
        <v>3.6275695284159616E-2</v>
      </c>
      <c r="F27">
        <f t="shared" si="10"/>
        <v>3.5545023696682464E-2</v>
      </c>
      <c r="G27">
        <f t="shared" si="10"/>
        <v>3.5545023696682464E-2</v>
      </c>
      <c r="H27">
        <f t="shared" si="10"/>
        <v>4.6153846153846156E-2</v>
      </c>
      <c r="I27">
        <f t="shared" si="10"/>
        <v>4.6153846153846156E-2</v>
      </c>
      <c r="J27">
        <f t="shared" si="10"/>
        <v>7.1005917159763315E-2</v>
      </c>
      <c r="K27">
        <f t="shared" si="10"/>
        <v>6.1224489795918359E-2</v>
      </c>
      <c r="L27">
        <f t="shared" si="10"/>
        <v>6.1224489795918359E-2</v>
      </c>
      <c r="M27">
        <f t="shared" si="10"/>
        <v>6.3829787234042548E-2</v>
      </c>
      <c r="N27">
        <f t="shared" si="10"/>
        <v>6.25E-2</v>
      </c>
      <c r="O27">
        <f t="shared" si="10"/>
        <v>6.1538461538461542E-2</v>
      </c>
      <c r="P27">
        <f t="shared" si="10"/>
        <v>6.1538461538461542E-2</v>
      </c>
      <c r="Q27" s="86">
        <f t="shared" si="3"/>
        <v>5.1944726026261073E-2</v>
      </c>
      <c r="T27">
        <f t="shared" si="4"/>
        <v>5.1944726026261074</v>
      </c>
    </row>
    <row r="28" spans="1:20" x14ac:dyDescent="0.3">
      <c r="A28" t="s">
        <v>16</v>
      </c>
      <c r="B28">
        <f t="shared" ref="B28:P28" si="11">B10/B$17</f>
        <v>3.9154754505904284E-2</v>
      </c>
      <c r="C28">
        <f t="shared" si="11"/>
        <v>3.9154754505904284E-2</v>
      </c>
      <c r="D28">
        <f t="shared" si="11"/>
        <v>2.9061721561029624E-2</v>
      </c>
      <c r="E28">
        <f t="shared" si="11"/>
        <v>2.4183796856106408E-2</v>
      </c>
      <c r="F28">
        <f t="shared" si="11"/>
        <v>3.5545023696682464E-2</v>
      </c>
      <c r="G28">
        <f t="shared" si="11"/>
        <v>3.5545023696682464E-2</v>
      </c>
      <c r="H28">
        <f t="shared" si="11"/>
        <v>2.3076923076923078E-2</v>
      </c>
      <c r="I28">
        <f t="shared" si="11"/>
        <v>2.3076923076923078E-2</v>
      </c>
      <c r="J28">
        <f t="shared" si="11"/>
        <v>3.5502958579881658E-2</v>
      </c>
      <c r="K28">
        <f t="shared" si="11"/>
        <v>6.1224489795918359E-2</v>
      </c>
      <c r="L28">
        <f t="shared" si="11"/>
        <v>6.1224489795918359E-2</v>
      </c>
      <c r="M28">
        <f t="shared" si="11"/>
        <v>6.3829787234042548E-2</v>
      </c>
      <c r="N28">
        <f t="shared" si="11"/>
        <v>6.25E-2</v>
      </c>
      <c r="O28">
        <f t="shared" si="11"/>
        <v>6.1538461538461542E-2</v>
      </c>
      <c r="P28">
        <f t="shared" si="11"/>
        <v>6.1538461538461542E-2</v>
      </c>
      <c r="Q28" s="86">
        <f t="shared" si="3"/>
        <v>4.3743837963922651E-2</v>
      </c>
      <c r="T28">
        <f t="shared" si="4"/>
        <v>4.3743837963922649</v>
      </c>
    </row>
    <row r="29" spans="1:20" x14ac:dyDescent="0.3">
      <c r="A29" t="s">
        <v>9</v>
      </c>
      <c r="B29">
        <f t="shared" ref="B29:P29" si="12">B11/B$17</f>
        <v>3.9154754505904284E-2</v>
      </c>
      <c r="C29">
        <f t="shared" si="12"/>
        <v>3.9154754505904284E-2</v>
      </c>
      <c r="D29">
        <f t="shared" si="12"/>
        <v>2.9061721561029624E-2</v>
      </c>
      <c r="E29">
        <f t="shared" si="12"/>
        <v>2.4183796856106408E-2</v>
      </c>
      <c r="F29">
        <f t="shared" si="12"/>
        <v>2.3696682464454975E-2</v>
      </c>
      <c r="G29">
        <f t="shared" si="12"/>
        <v>2.3696682464454975E-2</v>
      </c>
      <c r="H29">
        <f t="shared" si="12"/>
        <v>2.3076923076923078E-2</v>
      </c>
      <c r="I29">
        <f t="shared" si="12"/>
        <v>2.3076923076923078E-2</v>
      </c>
      <c r="J29">
        <f t="shared" si="12"/>
        <v>1.7751479289940829E-2</v>
      </c>
      <c r="K29">
        <f t="shared" si="12"/>
        <v>3.0612244897959179E-2</v>
      </c>
      <c r="L29">
        <f t="shared" si="12"/>
        <v>3.0612244897959179E-2</v>
      </c>
      <c r="M29">
        <f t="shared" si="12"/>
        <v>4.2553191489361701E-2</v>
      </c>
      <c r="N29">
        <f t="shared" si="12"/>
        <v>4.1666666666666664E-2</v>
      </c>
      <c r="O29">
        <f t="shared" si="12"/>
        <v>4.6153846153846156E-2</v>
      </c>
      <c r="P29">
        <f t="shared" si="12"/>
        <v>4.6153846153846156E-2</v>
      </c>
      <c r="Q29" s="86">
        <f t="shared" si="3"/>
        <v>3.2040383870752039E-2</v>
      </c>
      <c r="T29">
        <f t="shared" si="4"/>
        <v>3.2040383870752041</v>
      </c>
    </row>
    <row r="30" spans="1:20" x14ac:dyDescent="0.3">
      <c r="A30" t="s">
        <v>10</v>
      </c>
      <c r="B30">
        <f t="shared" ref="B30:P30" si="13">B12/B$17</f>
        <v>3.9154754505904284E-2</v>
      </c>
      <c r="C30">
        <f t="shared" si="13"/>
        <v>3.9154754505904284E-2</v>
      </c>
      <c r="D30">
        <f t="shared" si="13"/>
        <v>2.9061721561029624E-2</v>
      </c>
      <c r="E30">
        <f t="shared" si="13"/>
        <v>2.4183796856106408E-2</v>
      </c>
      <c r="F30">
        <f t="shared" si="13"/>
        <v>2.3696682464454975E-2</v>
      </c>
      <c r="G30">
        <f t="shared" si="13"/>
        <v>2.3696682464454975E-2</v>
      </c>
      <c r="H30">
        <f t="shared" si="13"/>
        <v>2.3076923076923078E-2</v>
      </c>
      <c r="I30">
        <f t="shared" si="13"/>
        <v>2.3076923076923078E-2</v>
      </c>
      <c r="J30">
        <f t="shared" si="13"/>
        <v>1.7751479289940829E-2</v>
      </c>
      <c r="K30">
        <f t="shared" si="13"/>
        <v>3.0612244897959179E-2</v>
      </c>
      <c r="L30">
        <f t="shared" si="13"/>
        <v>3.0612244897959179E-2</v>
      </c>
      <c r="M30">
        <f t="shared" si="13"/>
        <v>4.2553191489361701E-2</v>
      </c>
      <c r="N30">
        <f t="shared" si="13"/>
        <v>4.1666666666666664E-2</v>
      </c>
      <c r="O30">
        <f t="shared" si="13"/>
        <v>4.6153846153846156E-2</v>
      </c>
      <c r="P30">
        <f t="shared" si="13"/>
        <v>4.6153846153846156E-2</v>
      </c>
      <c r="Q30" s="86">
        <f t="shared" si="3"/>
        <v>3.2040383870752039E-2</v>
      </c>
      <c r="T30">
        <f t="shared" si="4"/>
        <v>3.2040383870752041</v>
      </c>
    </row>
    <row r="31" spans="1:20" x14ac:dyDescent="0.3">
      <c r="A31" t="s">
        <v>11</v>
      </c>
      <c r="B31">
        <f t="shared" ref="B31:P31" si="14">B13/B$17</f>
        <v>2.7967681789931632E-2</v>
      </c>
      <c r="C31">
        <f t="shared" si="14"/>
        <v>2.7967681789931632E-2</v>
      </c>
      <c r="D31">
        <f t="shared" si="14"/>
        <v>2.3249377248823703E-2</v>
      </c>
      <c r="E31">
        <f t="shared" si="14"/>
        <v>1.8137847642079808E-2</v>
      </c>
      <c r="F31">
        <f t="shared" si="14"/>
        <v>1.7772511848341232E-2</v>
      </c>
      <c r="G31">
        <f t="shared" si="14"/>
        <v>1.7772511848341232E-2</v>
      </c>
      <c r="H31">
        <f t="shared" si="14"/>
        <v>1.5384615384615385E-2</v>
      </c>
      <c r="I31">
        <f t="shared" si="14"/>
        <v>1.5384615384615385E-2</v>
      </c>
      <c r="J31">
        <f t="shared" si="14"/>
        <v>1.1834319526627219E-2</v>
      </c>
      <c r="K31">
        <f t="shared" si="14"/>
        <v>1.530612244897959E-2</v>
      </c>
      <c r="L31">
        <f t="shared" si="14"/>
        <v>1.530612244897959E-2</v>
      </c>
      <c r="M31">
        <f t="shared" si="14"/>
        <v>2.1276595744680851E-2</v>
      </c>
      <c r="N31">
        <f t="shared" si="14"/>
        <v>2.0833333333333332E-2</v>
      </c>
      <c r="O31">
        <f t="shared" si="14"/>
        <v>3.0769230769230771E-2</v>
      </c>
      <c r="P31">
        <f t="shared" si="14"/>
        <v>3.0769230769230771E-2</v>
      </c>
      <c r="Q31" s="86">
        <f t="shared" si="3"/>
        <v>2.0648786531849476E-2</v>
      </c>
      <c r="T31">
        <f t="shared" si="4"/>
        <v>2.0648786531849477</v>
      </c>
    </row>
    <row r="32" spans="1:20" x14ac:dyDescent="0.3">
      <c r="A32" t="s">
        <v>12</v>
      </c>
      <c r="B32">
        <f t="shared" ref="B32:P32" si="15">B14/B$17</f>
        <v>2.7967681789931632E-2</v>
      </c>
      <c r="C32">
        <f t="shared" si="15"/>
        <v>2.7967681789931632E-2</v>
      </c>
      <c r="D32">
        <f t="shared" si="15"/>
        <v>2.3249377248823703E-2</v>
      </c>
      <c r="E32">
        <f t="shared" si="15"/>
        <v>1.4510278113663845E-2</v>
      </c>
      <c r="F32">
        <f t="shared" si="15"/>
        <v>1.7772511848341232E-2</v>
      </c>
      <c r="G32">
        <f t="shared" si="15"/>
        <v>1.7772511848341232E-2</v>
      </c>
      <c r="H32">
        <f t="shared" si="15"/>
        <v>1.5384615384615385E-2</v>
      </c>
      <c r="I32">
        <f t="shared" si="15"/>
        <v>1.5384615384615385E-2</v>
      </c>
      <c r="J32">
        <f t="shared" si="15"/>
        <v>1.1834319526627219E-2</v>
      </c>
      <c r="K32">
        <f t="shared" si="15"/>
        <v>1.530612244897959E-2</v>
      </c>
      <c r="L32">
        <f t="shared" si="15"/>
        <v>1.530612244897959E-2</v>
      </c>
      <c r="M32">
        <f t="shared" si="15"/>
        <v>2.1276595744680851E-2</v>
      </c>
      <c r="N32">
        <f t="shared" si="15"/>
        <v>2.0833333333333332E-2</v>
      </c>
      <c r="O32">
        <f t="shared" si="15"/>
        <v>3.0769230769230771E-2</v>
      </c>
      <c r="P32">
        <f t="shared" si="15"/>
        <v>3.0769230769230771E-2</v>
      </c>
      <c r="Q32" s="86">
        <f t="shared" si="3"/>
        <v>2.040694856328841E-2</v>
      </c>
      <c r="T32">
        <f t="shared" si="4"/>
        <v>2.040694856328841</v>
      </c>
    </row>
    <row r="33" spans="1:20" x14ac:dyDescent="0.3">
      <c r="A33" t="s">
        <v>17</v>
      </c>
      <c r="B33">
        <f t="shared" ref="B33:P33" si="16">B15/B$17</f>
        <v>2.1752641392169047E-2</v>
      </c>
      <c r="C33">
        <f t="shared" si="16"/>
        <v>2.1752641392169047E-2</v>
      </c>
      <c r="D33">
        <f t="shared" si="16"/>
        <v>1.6606698034874072E-2</v>
      </c>
      <c r="E33">
        <f t="shared" si="16"/>
        <v>1.2091898428053204E-2</v>
      </c>
      <c r="F33">
        <f t="shared" si="16"/>
        <v>1.4218009478672987E-2</v>
      </c>
      <c r="G33">
        <f t="shared" si="16"/>
        <v>1.4218009478672987E-2</v>
      </c>
      <c r="H33">
        <f t="shared" si="16"/>
        <v>1.1538461538461539E-2</v>
      </c>
      <c r="I33">
        <f t="shared" si="16"/>
        <v>1.1538461538461539E-2</v>
      </c>
      <c r="J33">
        <f t="shared" si="16"/>
        <v>8.8757396449704144E-3</v>
      </c>
      <c r="K33">
        <f t="shared" si="16"/>
        <v>1.0204081632653059E-2</v>
      </c>
      <c r="L33">
        <f t="shared" si="16"/>
        <v>1.0204081632653059E-2</v>
      </c>
      <c r="M33">
        <f t="shared" si="16"/>
        <v>1.0638297872340425E-2</v>
      </c>
      <c r="N33">
        <f t="shared" si="16"/>
        <v>1.0416666666666666E-2</v>
      </c>
      <c r="O33">
        <f t="shared" si="16"/>
        <v>1.5384615384615385E-2</v>
      </c>
      <c r="P33">
        <f t="shared" si="16"/>
        <v>1.5384615384615385E-2</v>
      </c>
      <c r="Q33" s="86">
        <f t="shared" si="3"/>
        <v>1.3654994633336588E-2</v>
      </c>
      <c r="T33">
        <f t="shared" si="4"/>
        <v>1.3654994633336588</v>
      </c>
    </row>
    <row r="34" spans="1:20" x14ac:dyDescent="0.3">
      <c r="A34" t="s">
        <v>14</v>
      </c>
      <c r="B34" s="89">
        <f t="shared" ref="B34:P34" si="17">B16/B$17</f>
        <v>2.1752641392169047E-2</v>
      </c>
      <c r="C34" s="89">
        <f t="shared" si="17"/>
        <v>2.1752641392169047E-2</v>
      </c>
      <c r="D34" s="89">
        <f t="shared" si="17"/>
        <v>1.6606698034874072E-2</v>
      </c>
      <c r="E34" s="89">
        <f t="shared" si="17"/>
        <v>1.2091898428053204E-2</v>
      </c>
      <c r="F34" s="89">
        <f t="shared" si="17"/>
        <v>1.4218009478672987E-2</v>
      </c>
      <c r="G34" s="89">
        <f t="shared" si="17"/>
        <v>1.4218009478672987E-2</v>
      </c>
      <c r="H34" s="89">
        <f t="shared" si="17"/>
        <v>1.1538461538461539E-2</v>
      </c>
      <c r="I34" s="89">
        <f t="shared" si="17"/>
        <v>1.1538461538461539E-2</v>
      </c>
      <c r="J34" s="89">
        <f t="shared" si="17"/>
        <v>8.8757396449704144E-3</v>
      </c>
      <c r="K34" s="89">
        <f t="shared" si="17"/>
        <v>1.0204081632653059E-2</v>
      </c>
      <c r="L34" s="89">
        <f t="shared" si="17"/>
        <v>1.0204081632653059E-2</v>
      </c>
      <c r="M34" s="89">
        <f t="shared" si="17"/>
        <v>1.0638297872340425E-2</v>
      </c>
      <c r="N34" s="89">
        <f t="shared" si="17"/>
        <v>1.0416666666666666E-2</v>
      </c>
      <c r="O34" s="89">
        <f t="shared" si="17"/>
        <v>1.5384615384615385E-2</v>
      </c>
      <c r="P34" s="89">
        <f t="shared" si="17"/>
        <v>1.5384615384615385E-2</v>
      </c>
      <c r="Q34" s="90">
        <f t="shared" si="3"/>
        <v>1.3654994633336588E-2</v>
      </c>
      <c r="T34">
        <f t="shared" si="4"/>
        <v>1.3654994633336588</v>
      </c>
    </row>
    <row r="35" spans="1:20" x14ac:dyDescent="0.3">
      <c r="T35">
        <f>SUM(T20:T34)</f>
        <v>100.00000000000003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harvey clavijo beltran</dc:creator>
  <cp:lastModifiedBy>wilder harvey clavijo beltran</cp:lastModifiedBy>
  <dcterms:created xsi:type="dcterms:W3CDTF">2026-07-06T16:09:07Z</dcterms:created>
  <dcterms:modified xsi:type="dcterms:W3CDTF">2026-07-07T05:44:13Z</dcterms:modified>
</cp:coreProperties>
</file>